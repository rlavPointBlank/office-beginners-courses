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ues" sheetId="2" state="visible" r:id="rId4"/>
    <sheet name="Donations" sheetId="3" state="visible" r:id="rId5"/>
    <sheet name="Expense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<sst xmlns="http://schemas.openxmlformats.org/spreadsheetml/2006/main" count="127" uniqueCount="75">
  <si>
    <t xml:space="preserve">Treasurer Practice Workbook</t>
  </si>
  <si>
    <t xml:space="preserve">This file goes with the Excel course. Each chapter tells you which sheet to open.</t>
  </si>
  <si>
    <t xml:space="preserve">Colours used in this workbook:</t>
  </si>
  <si>
    <t xml:space="preserve">Yellow cells are for YOU to type in during the exercises.</t>
  </si>
  <si>
    <t xml:space="preserve">Blue numbers are example data you can change.</t>
  </si>
  <si>
    <t xml:space="preserve">Black numbers are formulas. If you break one, press Ctrl+Z (Undo).</t>
  </si>
  <si>
    <t xml:space="preserve">You cannot damage anything. Save a copy first (File &gt; Save As) and experiment freely.</t>
  </si>
  <si>
    <t xml:space="preserve">Member</t>
  </si>
  <si>
    <t xml:space="preserve">Joined</t>
  </si>
  <si>
    <t xml:space="preserve">Dues owed</t>
  </si>
  <si>
    <t xml:space="preserve">Amount paid</t>
  </si>
  <si>
    <t xml:space="preserve">Date paid</t>
  </si>
  <si>
    <t xml:space="preserve">Balance</t>
  </si>
  <si>
    <t xml:space="preserve">Exercise cells (yellow):</t>
  </si>
  <si>
    <t xml:space="preserve">Alvarez, Maria</t>
  </si>
  <si>
    <t xml:space="preserve">F2 to F11: Balance = Dues owed minus Amount paid  (=C2-D2, then fill down)</t>
  </si>
  <si>
    <t xml:space="preserve">Baker, Tom</t>
  </si>
  <si>
    <t xml:space="preserve">C13, D13, F13: totals using =SUM(...)</t>
  </si>
  <si>
    <t xml:space="preserve">Chen, Wei</t>
  </si>
  <si>
    <t xml:space="preserve">Dixon, Ruth</t>
  </si>
  <si>
    <t xml:space="preserve">Evans, Paul</t>
  </si>
  <si>
    <t xml:space="preserve">Foster, Ann</t>
  </si>
  <si>
    <t xml:space="preserve">Garcia, Luis</t>
  </si>
  <si>
    <t xml:space="preserve">Hughes, Beth</t>
  </si>
  <si>
    <t xml:space="preserve">Iqbal, Sam</t>
  </si>
  <si>
    <t xml:space="preserve">Jones, Carol</t>
  </si>
  <si>
    <t xml:space="preserve">Total</t>
  </si>
  <si>
    <t xml:space="preserve">Date</t>
  </si>
  <si>
    <t xml:space="preserve">Donor</t>
  </si>
  <si>
    <t xml:space="preserve">Type</t>
  </si>
  <si>
    <t xml:space="preserve">Amount</t>
  </si>
  <si>
    <t xml:space="preserve">Thank-you sent?</t>
  </si>
  <si>
    <t xml:space="preserve">Cash</t>
  </si>
  <si>
    <t xml:space="preserve">Yes</t>
  </si>
  <si>
    <t xml:space="preserve">G3: total donated  =SUM(D2:D13)</t>
  </si>
  <si>
    <t xml:space="preserve">Riverside Bakery</t>
  </si>
  <si>
    <t xml:space="preserve">Check</t>
  </si>
  <si>
    <t xml:space="preserve">Anonymous</t>
  </si>
  <si>
    <t xml:space="preserve">No</t>
  </si>
  <si>
    <t xml:space="preserve">G5: total from Checks only  =SUMIF(C2:C13,"Check",D2:D13)</t>
  </si>
  <si>
    <t xml:space="preserve">Online</t>
  </si>
  <si>
    <t xml:space="preserve">Oak Street Hardware</t>
  </si>
  <si>
    <t xml:space="preserve">G7: how many thank-yous still owed  =COUNTIF(E2:E13,"No")</t>
  </si>
  <si>
    <t xml:space="preserve">Paid to</t>
  </si>
  <si>
    <t xml:space="preserve">Category</t>
  </si>
  <si>
    <t xml:space="preserve">Receipt?</t>
  </si>
  <si>
    <t xml:space="preserve">Over $100?</t>
  </si>
  <si>
    <t xml:space="preserve">City Print Shop</t>
  </si>
  <si>
    <t xml:space="preserve">Printing</t>
  </si>
  <si>
    <t xml:space="preserve">F2 to F11: =IF(D2&gt;100,"Yes","No") then fill down</t>
  </si>
  <si>
    <t xml:space="preserve">Corner Market</t>
  </si>
  <si>
    <t xml:space="preserve">Refreshments</t>
  </si>
  <si>
    <t xml:space="preserve">Later chapters: turn this into a Table (Ctrl+T) and add a chart</t>
  </si>
  <si>
    <t xml:space="preserve">Community Hall</t>
  </si>
  <si>
    <t xml:space="preserve">Room rental</t>
  </si>
  <si>
    <t xml:space="preserve">Post Office</t>
  </si>
  <si>
    <t xml:space="preserve">Postage</t>
  </si>
  <si>
    <t xml:space="preserve">Web Host Co</t>
  </si>
  <si>
    <t xml:space="preserve">Website</t>
  </si>
  <si>
    <t xml:space="preserve">Treasurer summary (finished example — look but try not to type here)</t>
  </si>
  <si>
    <t xml:space="preserve">Total dues owed</t>
  </si>
  <si>
    <t xml:space="preserve">Every number here is a formula. Click one and read the formula bar.</t>
  </si>
  <si>
    <t xml:space="preserve">Total dues collected</t>
  </si>
  <si>
    <t xml:space="preserve">Dues still outstanding</t>
  </si>
  <si>
    <t xml:space="preserve">Members fully paid</t>
  </si>
  <si>
    <t xml:space="preserve">Total donations</t>
  </si>
  <si>
    <t xml:space="preserve">Donations by check</t>
  </si>
  <si>
    <t xml:space="preserve">Thank-yous still owed</t>
  </si>
  <si>
    <t xml:space="preserve">Total expenses</t>
  </si>
  <si>
    <t xml:space="preserve">Spent on printing</t>
  </si>
  <si>
    <t xml:space="preserve">Largest single expense</t>
  </si>
  <si>
    <t xml:space="preserve">Money in (dues + donations)</t>
  </si>
  <si>
    <t xml:space="preserve">Money out</t>
  </si>
  <si>
    <t xml:space="preserve">Net so far</t>
  </si>
  <si>
    <t xml:space="preserve">Report prepared 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</si>
</sst>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\$#,##0.00;&quot;($&quot;#,##0.00\);\-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2"/>
      <name val="Arial"/>
      <family val="0"/>
      <charset val="1"/>
    </font>
    <font>
      <sz val="12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3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H1" s="1" t="s">
        <v>13</v>
      </c>
    </row>
    <row r="2" customFormat="false" ht="15" hidden="false" customHeight="false" outlineLevel="0" collapsed="false">
      <c r="A2" s="2" t="s">
        <v>14</v>
      </c>
      <c r="B2" s="6" t="n">
        <v>45352</v>
      </c>
      <c r="C2" s="7" t="n">
        <v>60</v>
      </c>
      <c r="D2" s="7" t="n">
        <v>60</v>
      </c>
      <c r="E2" s="6" t="n">
        <v>46037</v>
      </c>
      <c r="F2" s="8"/>
      <c r="H2" s="2" t="s">
        <v>15</v>
      </c>
    </row>
    <row r="3" customFormat="false" ht="15" hidden="false" customHeight="false" outlineLevel="0" collapsed="false">
      <c r="A3" s="2" t="s">
        <v>16</v>
      </c>
      <c r="B3" s="6" t="n">
        <v>45181</v>
      </c>
      <c r="C3" s="7" t="n">
        <v>60</v>
      </c>
      <c r="D3" s="7" t="n">
        <v>30</v>
      </c>
      <c r="E3" s="6" t="n">
        <v>46055</v>
      </c>
      <c r="F3" s="8"/>
      <c r="H3" s="2" t="s">
        <v>17</v>
      </c>
    </row>
    <row r="4" customFormat="false" ht="15" hidden="false" customHeight="false" outlineLevel="0" collapsed="false">
      <c r="A4" s="2" t="s">
        <v>18</v>
      </c>
      <c r="B4" s="6" t="n">
        <v>45677</v>
      </c>
      <c r="C4" s="7" t="n">
        <v>60</v>
      </c>
      <c r="D4" s="7" t="n">
        <v>60</v>
      </c>
      <c r="E4" s="6" t="n">
        <v>46030</v>
      </c>
      <c r="F4" s="8"/>
    </row>
    <row r="5" customFormat="false" ht="15" hidden="false" customHeight="false" outlineLevel="0" collapsed="false">
      <c r="A5" s="2" t="s">
        <v>19</v>
      </c>
      <c r="B5" s="6" t="n">
        <v>44717</v>
      </c>
      <c r="C5" s="7" t="n">
        <v>60</v>
      </c>
      <c r="D5" s="7" t="n">
        <v>0</v>
      </c>
      <c r="F5" s="8"/>
    </row>
    <row r="6" customFormat="false" ht="15" hidden="false" customHeight="false" outlineLevel="0" collapsed="false">
      <c r="A6" s="2" t="s">
        <v>20</v>
      </c>
      <c r="B6" s="6" t="n">
        <v>45607</v>
      </c>
      <c r="C6" s="7" t="n">
        <v>60</v>
      </c>
      <c r="D6" s="7" t="n">
        <v>60</v>
      </c>
      <c r="E6" s="6" t="n">
        <v>46100</v>
      </c>
      <c r="F6" s="8"/>
    </row>
    <row r="7" customFormat="false" ht="15" hidden="false" customHeight="false" outlineLevel="0" collapsed="false">
      <c r="A7" s="2" t="s">
        <v>21</v>
      </c>
      <c r="B7" s="6" t="n">
        <v>45807</v>
      </c>
      <c r="C7" s="7" t="n">
        <v>60</v>
      </c>
      <c r="D7" s="7" t="n">
        <v>45</v>
      </c>
      <c r="E7" s="6" t="n">
        <v>46080</v>
      </c>
      <c r="F7" s="8"/>
    </row>
    <row r="8" customFormat="false" ht="15" hidden="false" customHeight="false" outlineLevel="0" collapsed="false">
      <c r="A8" s="2" t="s">
        <v>22</v>
      </c>
      <c r="B8" s="6" t="n">
        <v>44971</v>
      </c>
      <c r="C8" s="7" t="n">
        <v>60</v>
      </c>
      <c r="D8" s="7" t="n">
        <v>60</v>
      </c>
      <c r="E8" s="6" t="n">
        <v>46052</v>
      </c>
      <c r="F8" s="8"/>
    </row>
    <row r="9" customFormat="false" ht="15" hidden="false" customHeight="false" outlineLevel="0" collapsed="false">
      <c r="A9" s="2" t="s">
        <v>23</v>
      </c>
      <c r="B9" s="6" t="n">
        <v>45512</v>
      </c>
      <c r="C9" s="7" t="n">
        <v>60</v>
      </c>
      <c r="D9" s="7" t="n">
        <v>0</v>
      </c>
      <c r="F9" s="8"/>
    </row>
    <row r="10" customFormat="false" ht="15" hidden="false" customHeight="false" outlineLevel="0" collapsed="false">
      <c r="A10" s="2" t="s">
        <v>24</v>
      </c>
      <c r="B10" s="6" t="n">
        <v>45901</v>
      </c>
      <c r="C10" s="7" t="n">
        <v>60</v>
      </c>
      <c r="D10" s="7" t="n">
        <v>60</v>
      </c>
      <c r="E10" s="6" t="n">
        <v>46116</v>
      </c>
      <c r="F10" s="8"/>
    </row>
    <row r="11" customFormat="false" ht="15" hidden="false" customHeight="false" outlineLevel="0" collapsed="false">
      <c r="A11" s="2" t="s">
        <v>25</v>
      </c>
      <c r="B11" s="6" t="n">
        <v>44542</v>
      </c>
      <c r="C11" s="7" t="n">
        <v>60</v>
      </c>
      <c r="D11" s="7" t="n">
        <v>20</v>
      </c>
      <c r="E11" s="6" t="n">
        <v>46084</v>
      </c>
      <c r="F11" s="8"/>
    </row>
    <row r="13" customFormat="false" ht="15" hidden="false" customHeight="false" outlineLevel="0" collapsed="false">
      <c r="A13" s="1" t="s">
        <v>26</v>
      </c>
      <c r="C13" s="8"/>
      <c r="D13" s="8"/>
      <c r="F1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G1" s="1" t="s">
        <v>13</v>
      </c>
    </row>
    <row r="2" customFormat="false" ht="15" hidden="false" customHeight="false" outlineLevel="0" collapsed="false">
      <c r="A2" s="6" t="n">
        <v>46027</v>
      </c>
      <c r="B2" s="2" t="s">
        <v>14</v>
      </c>
      <c r="C2" s="2" t="s">
        <v>32</v>
      </c>
      <c r="D2" s="7" t="n">
        <v>25</v>
      </c>
      <c r="E2" s="2" t="s">
        <v>33</v>
      </c>
      <c r="G2" s="2" t="s">
        <v>34</v>
      </c>
    </row>
    <row r="3" customFormat="false" ht="15" hidden="false" customHeight="false" outlineLevel="0" collapsed="false">
      <c r="A3" s="6" t="n">
        <v>46034</v>
      </c>
      <c r="B3" s="2" t="s">
        <v>35</v>
      </c>
      <c r="C3" s="2" t="s">
        <v>36</v>
      </c>
      <c r="D3" s="7" t="n">
        <v>100</v>
      </c>
      <c r="E3" s="2" t="s">
        <v>33</v>
      </c>
      <c r="G3" s="8"/>
    </row>
    <row r="4" customFormat="false" ht="15" hidden="false" customHeight="false" outlineLevel="0" collapsed="false">
      <c r="A4" s="6" t="n">
        <v>46042</v>
      </c>
      <c r="B4" s="2" t="s">
        <v>37</v>
      </c>
      <c r="C4" s="2" t="s">
        <v>32</v>
      </c>
      <c r="D4" s="7" t="n">
        <v>40</v>
      </c>
      <c r="E4" s="2" t="s">
        <v>38</v>
      </c>
      <c r="G4" s="2" t="s">
        <v>39</v>
      </c>
    </row>
    <row r="5" customFormat="false" ht="15" hidden="false" customHeight="false" outlineLevel="0" collapsed="false">
      <c r="A5" s="6" t="n">
        <v>46056</v>
      </c>
      <c r="B5" s="2" t="s">
        <v>18</v>
      </c>
      <c r="C5" s="2" t="s">
        <v>40</v>
      </c>
      <c r="D5" s="7" t="n">
        <v>50</v>
      </c>
      <c r="E5" s="2" t="s">
        <v>33</v>
      </c>
      <c r="G5" s="8"/>
    </row>
    <row r="6" customFormat="false" ht="15" hidden="false" customHeight="false" outlineLevel="0" collapsed="false">
      <c r="A6" s="6" t="n">
        <v>46067</v>
      </c>
      <c r="B6" s="2" t="s">
        <v>41</v>
      </c>
      <c r="C6" s="2" t="s">
        <v>36</v>
      </c>
      <c r="D6" s="7" t="n">
        <v>250</v>
      </c>
      <c r="E6" s="2" t="s">
        <v>38</v>
      </c>
      <c r="G6" s="2" t="s">
        <v>42</v>
      </c>
    </row>
    <row r="7" customFormat="false" ht="15" hidden="false" customHeight="false" outlineLevel="0" collapsed="false">
      <c r="A7" s="6" t="n">
        <v>46081</v>
      </c>
      <c r="B7" s="2" t="s">
        <v>22</v>
      </c>
      <c r="C7" s="2" t="s">
        <v>40</v>
      </c>
      <c r="D7" s="7" t="n">
        <v>20</v>
      </c>
      <c r="E7" s="2" t="s">
        <v>33</v>
      </c>
      <c r="G7" s="9"/>
    </row>
    <row r="8" customFormat="false" ht="15" hidden="false" customHeight="false" outlineLevel="0" collapsed="false">
      <c r="A8" s="6" t="n">
        <v>46087</v>
      </c>
      <c r="B8" s="2" t="s">
        <v>25</v>
      </c>
      <c r="C8" s="2" t="s">
        <v>32</v>
      </c>
      <c r="D8" s="7" t="n">
        <v>15</v>
      </c>
      <c r="E8" s="2" t="s">
        <v>38</v>
      </c>
    </row>
    <row r="9" customFormat="false" ht="15" hidden="false" customHeight="false" outlineLevel="0" collapsed="false">
      <c r="A9" s="6" t="n">
        <v>46096</v>
      </c>
      <c r="B9" s="2" t="s">
        <v>35</v>
      </c>
      <c r="C9" s="2" t="s">
        <v>36</v>
      </c>
      <c r="D9" s="7" t="n">
        <v>100</v>
      </c>
      <c r="E9" s="2" t="s">
        <v>33</v>
      </c>
    </row>
    <row r="10" customFormat="false" ht="15" hidden="false" customHeight="false" outlineLevel="0" collapsed="false">
      <c r="A10" s="6" t="n">
        <v>46103</v>
      </c>
      <c r="B10" s="2" t="s">
        <v>20</v>
      </c>
      <c r="C10" s="2" t="s">
        <v>40</v>
      </c>
      <c r="D10" s="7" t="n">
        <v>75</v>
      </c>
      <c r="E10" s="2" t="s">
        <v>33</v>
      </c>
    </row>
    <row r="11" customFormat="false" ht="15" hidden="false" customHeight="false" outlineLevel="0" collapsed="false">
      <c r="A11" s="6" t="n">
        <v>46113</v>
      </c>
      <c r="B11" s="2" t="s">
        <v>37</v>
      </c>
      <c r="C11" s="2" t="s">
        <v>32</v>
      </c>
      <c r="D11" s="7" t="n">
        <v>30</v>
      </c>
      <c r="E11" s="2" t="s">
        <v>38</v>
      </c>
    </row>
    <row r="12" customFormat="false" ht="15" hidden="false" customHeight="false" outlineLevel="0" collapsed="false">
      <c r="A12" s="6" t="n">
        <v>46122</v>
      </c>
      <c r="B12" s="2" t="s">
        <v>21</v>
      </c>
      <c r="C12" s="2" t="s">
        <v>40</v>
      </c>
      <c r="D12" s="7" t="n">
        <v>50</v>
      </c>
      <c r="E12" s="2" t="s">
        <v>38</v>
      </c>
    </row>
    <row r="13" customFormat="false" ht="15" hidden="false" customHeight="false" outlineLevel="0" collapsed="false">
      <c r="A13" s="6" t="n">
        <v>46130</v>
      </c>
      <c r="B13" s="2" t="s">
        <v>41</v>
      </c>
      <c r="C13" s="2" t="s">
        <v>36</v>
      </c>
      <c r="D13" s="7" t="n">
        <v>200</v>
      </c>
      <c r="E13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5" t="s">
        <v>27</v>
      </c>
      <c r="B1" s="5" t="s">
        <v>43</v>
      </c>
      <c r="C1" s="5" t="s">
        <v>44</v>
      </c>
      <c r="D1" s="5" t="s">
        <v>30</v>
      </c>
      <c r="E1" s="5" t="s">
        <v>45</v>
      </c>
      <c r="F1" s="5" t="s">
        <v>46</v>
      </c>
      <c r="H1" s="1" t="s">
        <v>13</v>
      </c>
    </row>
    <row r="2" customFormat="false" ht="15" hidden="false" customHeight="false" outlineLevel="0" collapsed="false">
      <c r="A2" s="6" t="n">
        <v>46031</v>
      </c>
      <c r="B2" s="2" t="s">
        <v>47</v>
      </c>
      <c r="C2" s="2" t="s">
        <v>48</v>
      </c>
      <c r="D2" s="7" t="n">
        <v>48.5</v>
      </c>
      <c r="E2" s="2" t="s">
        <v>33</v>
      </c>
      <c r="F2" s="9"/>
      <c r="H2" s="2" t="s">
        <v>49</v>
      </c>
    </row>
    <row r="3" customFormat="false" ht="15" hidden="false" customHeight="false" outlineLevel="0" collapsed="false">
      <c r="A3" s="6" t="n">
        <v>46044</v>
      </c>
      <c r="B3" s="2" t="s">
        <v>50</v>
      </c>
      <c r="C3" s="2" t="s">
        <v>51</v>
      </c>
      <c r="D3" s="7" t="n">
        <v>63.2</v>
      </c>
      <c r="E3" s="2" t="s">
        <v>33</v>
      </c>
      <c r="F3" s="9"/>
      <c r="H3" s="2" t="s">
        <v>52</v>
      </c>
    </row>
    <row r="4" customFormat="false" ht="15" hidden="false" customHeight="false" outlineLevel="0" collapsed="false">
      <c r="A4" s="6" t="n">
        <v>46058</v>
      </c>
      <c r="B4" s="2" t="s">
        <v>53</v>
      </c>
      <c r="C4" s="2" t="s">
        <v>54</v>
      </c>
      <c r="D4" s="7" t="n">
        <v>150</v>
      </c>
      <c r="E4" s="2" t="s">
        <v>33</v>
      </c>
      <c r="F4" s="9"/>
    </row>
    <row r="5" customFormat="false" ht="15" hidden="false" customHeight="false" outlineLevel="0" collapsed="false">
      <c r="A5" s="6" t="n">
        <v>46072</v>
      </c>
      <c r="B5" s="2" t="s">
        <v>55</v>
      </c>
      <c r="C5" s="2" t="s">
        <v>56</v>
      </c>
      <c r="D5" s="7" t="n">
        <v>29.6</v>
      </c>
      <c r="E5" s="2" t="s">
        <v>38</v>
      </c>
      <c r="F5" s="9"/>
    </row>
    <row r="6" customFormat="false" ht="15" hidden="false" customHeight="false" outlineLevel="0" collapsed="false">
      <c r="A6" s="6" t="n">
        <v>46083</v>
      </c>
      <c r="B6" s="2" t="s">
        <v>47</v>
      </c>
      <c r="C6" s="2" t="s">
        <v>48</v>
      </c>
      <c r="D6" s="7" t="n">
        <v>112</v>
      </c>
      <c r="E6" s="2" t="s">
        <v>33</v>
      </c>
      <c r="F6" s="9"/>
    </row>
    <row r="7" customFormat="false" ht="15" hidden="false" customHeight="false" outlineLevel="0" collapsed="false">
      <c r="A7" s="6" t="n">
        <v>46095</v>
      </c>
      <c r="B7" s="2" t="s">
        <v>50</v>
      </c>
      <c r="C7" s="2" t="s">
        <v>51</v>
      </c>
      <c r="D7" s="7" t="n">
        <v>41.75</v>
      </c>
      <c r="E7" s="2" t="s">
        <v>38</v>
      </c>
      <c r="F7" s="9"/>
    </row>
    <row r="8" customFormat="false" ht="15" hidden="false" customHeight="false" outlineLevel="0" collapsed="false">
      <c r="A8" s="6" t="n">
        <v>46111</v>
      </c>
      <c r="B8" s="2" t="s">
        <v>53</v>
      </c>
      <c r="C8" s="2" t="s">
        <v>54</v>
      </c>
      <c r="D8" s="7" t="n">
        <v>150</v>
      </c>
      <c r="E8" s="2" t="s">
        <v>33</v>
      </c>
      <c r="F8" s="9"/>
    </row>
    <row r="9" customFormat="false" ht="15" hidden="false" customHeight="false" outlineLevel="0" collapsed="false">
      <c r="A9" s="6" t="n">
        <v>46118</v>
      </c>
      <c r="B9" s="2" t="s">
        <v>57</v>
      </c>
      <c r="C9" s="2" t="s">
        <v>58</v>
      </c>
      <c r="D9" s="7" t="n">
        <v>96</v>
      </c>
      <c r="E9" s="2" t="s">
        <v>33</v>
      </c>
      <c r="F9" s="9"/>
    </row>
    <row r="10" customFormat="false" ht="15" hidden="false" customHeight="false" outlineLevel="0" collapsed="false">
      <c r="A10" s="6" t="n">
        <v>46132</v>
      </c>
      <c r="B10" s="2" t="s">
        <v>55</v>
      </c>
      <c r="C10" s="2" t="s">
        <v>56</v>
      </c>
      <c r="D10" s="7" t="n">
        <v>18.4</v>
      </c>
      <c r="E10" s="2" t="s">
        <v>33</v>
      </c>
      <c r="F10" s="9"/>
    </row>
    <row r="11" customFormat="false" ht="15" hidden="false" customHeight="false" outlineLevel="0" collapsed="false">
      <c r="A11" s="6" t="n">
        <v>46143</v>
      </c>
      <c r="B11" s="2" t="s">
        <v>50</v>
      </c>
      <c r="C11" s="2" t="s">
        <v>51</v>
      </c>
      <c r="D11" s="7" t="n">
        <v>58</v>
      </c>
      <c r="E11" s="2" t="s">
        <v>38</v>
      </c>
      <c r="F1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  <c r="B2" s="10" t="n">
        <f aca="false">SUM(Dues!C2:C11)</f>
        <v>600</v>
      </c>
      <c r="D2" s="2" t="s">
        <v>61</v>
      </c>
    </row>
    <row r="3" customFormat="false" ht="15" hidden="false" customHeight="false" outlineLevel="0" collapsed="false">
      <c r="A3" s="2" t="s">
        <v>62</v>
      </c>
      <c r="B3" s="10" t="n">
        <f aca="false">SUM(Dues!D2:D11)</f>
        <v>395</v>
      </c>
    </row>
    <row r="4" customFormat="false" ht="15" hidden="false" customHeight="false" outlineLevel="0" collapsed="false">
      <c r="A4" s="2" t="s">
        <v>63</v>
      </c>
      <c r="B4" s="10" t="n">
        <f aca="false">B2-B3</f>
        <v>205</v>
      </c>
    </row>
    <row r="5" customFormat="false" ht="15" hidden="false" customHeight="false" outlineLevel="0" collapsed="false">
      <c r="A5" s="2" t="s">
        <v>64</v>
      </c>
      <c r="B5" s="11" t="n">
        <f aca="false">COUNTIF(Dues!D2:D11,60)</f>
        <v>5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65</v>
      </c>
      <c r="B7" s="10" t="n">
        <f aca="false">SUM(Donations!D2:D13)</f>
        <v>955</v>
      </c>
    </row>
    <row r="8" customFormat="false" ht="15" hidden="false" customHeight="false" outlineLevel="0" collapsed="false">
      <c r="A8" s="2" t="s">
        <v>66</v>
      </c>
      <c r="B8" s="10" t="n">
        <f aca="false">SUMIF(Donations!C2:C13,"Check",Donations!D2:D13)</f>
        <v>650</v>
      </c>
    </row>
    <row r="9" customFormat="false" ht="15" hidden="false" customHeight="false" outlineLevel="0" collapsed="false">
      <c r="A9" s="2" t="s">
        <v>67</v>
      </c>
      <c r="B9" s="11" t="n">
        <f aca="false">COUNTIF(Donations!E2:E13,"No")</f>
        <v>5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68</v>
      </c>
      <c r="B11" s="10" t="n">
        <f aca="false">SUM(Expenses!D2:D11)</f>
        <v>767.45</v>
      </c>
    </row>
    <row r="12" customFormat="false" ht="15" hidden="false" customHeight="false" outlineLevel="0" collapsed="false">
      <c r="A12" s="2" t="s">
        <v>69</v>
      </c>
      <c r="B12" s="10" t="n">
        <f aca="false">SUMIF(Expenses!C2:C11,"Printing",Expenses!D2:D11)</f>
        <v>160.5</v>
      </c>
    </row>
    <row r="13" customFormat="false" ht="15" hidden="false" customHeight="false" outlineLevel="0" collapsed="false">
      <c r="A13" s="2" t="s">
        <v>70</v>
      </c>
      <c r="B13" s="10" t="n">
        <f aca="false">MAX(Expenses!D2:D11)</f>
        <v>150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71</v>
      </c>
      <c r="B15" s="10" t="n">
        <f aca="false">B3+B7</f>
        <v>1350</v>
      </c>
    </row>
    <row r="16" customFormat="false" ht="15" hidden="false" customHeight="false" outlineLevel="0" collapsed="false">
      <c r="A16" s="2" t="s">
        <v>72</v>
      </c>
      <c r="B16" s="10" t="n">
        <f aca="false">B11</f>
        <v>767.45</v>
      </c>
    </row>
    <row r="17" customFormat="false" ht="15" hidden="false" customHeight="false" outlineLevel="0" collapsed="false">
      <c r="A17" s="1" t="s">
        <v>73</v>
      </c>
      <c r="B17" s="12" t="n">
        <f aca="false">B15-B16</f>
        <v>582.55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74</v>
      </c>
      <c r="B19" s="6" t="n">
        <f aca="true">TODAY()</f>
        <v>46273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2026-09-08T13:19:01Z</dcterms:created>
  <dc:creator>openpyxl</dc:creator>
  <dc:description/>
  <dc:language>en-US</dc:language>
  <cp:lastModifiedBy/>
  <dcterms:modified xsi:type="dcterms:W3CDTF">2026-09-08T13:19:01Z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